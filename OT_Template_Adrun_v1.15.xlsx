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_Record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Edit_Requests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Payroll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  <font>
      <i val="1"/>
      <color rgb="00888888"/>
      <sz val="10"/>
    </font>
    <font>
      <b val="1"/>
      <sz val="11"/>
    </font>
    <font>
      <b val="1"/>
      <sz val="12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6E3A"/>
      </patternFill>
    </fill>
    <fill>
      <patternFill patternType="solid">
        <fgColor rgb="001F4E79"/>
      </patternFill>
    </fill>
    <fill>
      <patternFill patternType="solid">
        <fgColor rgb="00F0F8FF"/>
      </patternFill>
    </fill>
    <fill>
      <patternFill patternType="solid">
        <fgColor rgb="005B2A8C"/>
      </patternFill>
    </fill>
    <fill>
      <patternFill patternType="solid">
        <fgColor rgb="00C2185B"/>
      </patternFill>
    </fill>
    <fill>
      <patternFill patternType="solid">
        <fgColor rgb="00C84B1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45F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6" fillId="9" borderId="0" pivotButton="0" quotePrefix="0" xfId="0"/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1" customWidth="1" min="4" max="4"/>
    <col width="7" customWidth="1" min="5" max="5"/>
    <col width="28" customWidth="1" min="6" max="6"/>
    <col width="16" customWidth="1" min="7" max="7"/>
    <col width="18" customWidth="1" min="8" max="8"/>
    <col width="12" customWidth="1" min="9" max="9"/>
    <col width="20" customWidth="1" min="10" max="10"/>
    <col width="22" customWidth="1" min="11" max="11"/>
  </cols>
  <sheetData>
    <row r="1" ht="28" customHeight="1">
      <c r="A1" s="1" t="inlineStr">
        <is>
          <t>📋 บันทึก OT พนักงาน — บริษัท Adrun</t>
        </is>
      </c>
    </row>
    <row r="2" ht="24" customHeight="1">
      <c r="A2" s="2" t="inlineStr">
        <is>
          <t>ชื่อพนักงาน</t>
        </is>
      </c>
      <c r="B2" s="2" t="inlineStr">
        <is>
          <t>วันที่</t>
        </is>
      </c>
      <c r="C2" s="2" t="inlineStr">
        <is>
          <t>เวลาเริ่ม</t>
        </is>
      </c>
      <c r="D2" s="2" t="inlineStr">
        <is>
          <t>เวลาสิ้นสุด</t>
        </is>
      </c>
      <c r="E2" s="2" t="inlineStr">
        <is>
          <t>ชม.</t>
        </is>
      </c>
      <c r="F2" s="2" t="inlineStr">
        <is>
          <t>งานที่ทำ</t>
        </is>
      </c>
      <c r="G2" s="2" t="inlineStr">
        <is>
          <t>สถานที่</t>
        </is>
      </c>
      <c r="H2" s="2" t="inlineStr">
        <is>
          <t>ประเภท OT</t>
        </is>
      </c>
      <c r="I2" s="2" t="inlineStr">
        <is>
          <t>ค่า OT (฿)</t>
        </is>
      </c>
      <c r="J2" s="2" t="inlineStr">
        <is>
          <t>บันทึกเมื่อ</t>
        </is>
      </c>
      <c r="K2" s="2" t="inlineStr">
        <is>
          <t>PayrollID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8" customWidth="1" min="4" max="4"/>
  </cols>
  <sheetData>
    <row r="1" ht="28" customHeight="1">
      <c r="A1" s="3" t="inlineStr">
        <is>
          <t>👥 ข้อมูลพนักงาน &amp; เรท OT</t>
        </is>
      </c>
    </row>
    <row r="2" ht="24" customHeight="1">
      <c r="A2" s="4" t="inlineStr">
        <is>
          <t>ชื่อพนักงาน</t>
        </is>
      </c>
      <c r="B2" s="4" t="inlineStr">
        <is>
          <t>ค่าจ้าง/ชม. (฿)</t>
        </is>
      </c>
      <c r="C2" s="4" t="inlineStr">
        <is>
          <t>เหมาจ่ายวันหยุด (฿)</t>
        </is>
      </c>
      <c r="D2" s="4" t="inlineStr">
        <is>
          <t>userId</t>
        </is>
      </c>
    </row>
    <row r="3">
      <c r="A3" s="5" t="inlineStr">
        <is>
          <t>Air</t>
        </is>
      </c>
      <c r="B3" s="5" t="n">
        <v>80</v>
      </c>
      <c r="C3" s="5" t="n">
        <v>500</v>
      </c>
      <c r="D3" s="5" t="inlineStr"/>
    </row>
    <row r="4">
      <c r="A4" s="6" t="inlineStr">
        <is>
          <t>Petch</t>
        </is>
      </c>
      <c r="B4" s="6" t="n">
        <v>80</v>
      </c>
      <c r="C4" s="6" t="n">
        <v>600</v>
      </c>
      <c r="D4" s="6" t="inlineStr"/>
    </row>
    <row r="5">
      <c r="A5" s="5" t="inlineStr">
        <is>
          <t>Touch</t>
        </is>
      </c>
      <c r="B5" s="5" t="n">
        <v>100</v>
      </c>
      <c r="C5" s="5" t="n">
        <v>700</v>
      </c>
      <c r="D5" s="5" t="inlineStr"/>
    </row>
    <row r="6">
      <c r="A6" s="6" t="inlineStr">
        <is>
          <t>Scene</t>
        </is>
      </c>
      <c r="B6" s="6" t="n">
        <v>90</v>
      </c>
      <c r="C6" s="6" t="n">
        <v>550</v>
      </c>
      <c r="D6" s="6" t="inlineStr"/>
    </row>
    <row r="7">
      <c r="A7" s="5" t="inlineStr">
        <is>
          <t>Aon</t>
        </is>
      </c>
      <c r="B7" s="5" t="n">
        <v>120</v>
      </c>
      <c r="C7" s="5" t="n">
        <v>800</v>
      </c>
      <c r="D7" s="5" t="inlineStr"/>
    </row>
    <row r="8">
      <c r="A8" s="6" t="inlineStr">
        <is>
          <t>Tin</t>
        </is>
      </c>
      <c r="B8" s="6" t="n">
        <v>120</v>
      </c>
      <c r="C8" s="6" t="n">
        <v>800</v>
      </c>
      <c r="D8" s="6" t="inlineStr"/>
    </row>
    <row r="9">
      <c r="A9" s="5" t="inlineStr">
        <is>
          <t>Neng</t>
        </is>
      </c>
      <c r="B9" s="5" t="n">
        <v>120</v>
      </c>
      <c r="C9" s="5" t="n">
        <v>800</v>
      </c>
      <c r="D9" s="5" t="inlineStr">
        <is>
          <t>Uadbec6a1c6fddfb13f4cce36920abab9</t>
        </is>
      </c>
    </row>
    <row r="11">
      <c r="A11" s="7" t="inlineStr">
        <is>
          <t>💡 เพิ่ม/แก้ไขรายชื่อในตารางนี้ได้เลย — Bot จะดึงข้อมูลล่าสุดเสมอ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</cols>
  <sheetData>
    <row r="1" ht="28" customHeight="1">
      <c r="A1" s="8" t="inlineStr">
        <is>
          <t>🎌 วันหยุดประจำปี</t>
        </is>
      </c>
    </row>
    <row r="2" ht="24" customHeight="1">
      <c r="A2" s="9" t="inlineStr">
        <is>
          <t>วันที่</t>
        </is>
      </c>
      <c r="B2" s="9" t="inlineStr">
        <is>
          <t>วันในสัปดาห์</t>
        </is>
      </c>
      <c r="C2" s="9" t="inlineStr">
        <is>
          <t>ชื่อวันหยุด</t>
        </is>
      </c>
    </row>
    <row r="3">
      <c r="A3" s="5" t="inlineStr">
        <is>
          <t>01/01/2569</t>
        </is>
      </c>
      <c r="B3" s="5" t="inlineStr">
        <is>
          <t>พฤหัสบดี</t>
        </is>
      </c>
      <c r="C3" s="5" t="inlineStr">
        <is>
          <t>วันขึ้นปีใหม่</t>
        </is>
      </c>
    </row>
    <row r="4">
      <c r="A4" s="6" t="inlineStr">
        <is>
          <t>02/01/2569</t>
        </is>
      </c>
      <c r="B4" s="6" t="inlineStr">
        <is>
          <t>ศุกร์</t>
        </is>
      </c>
      <c r="C4" s="6" t="inlineStr">
        <is>
          <t>ชดเชยวันสิ้นปี</t>
        </is>
      </c>
    </row>
    <row r="5">
      <c r="A5" s="5" t="inlineStr">
        <is>
          <t>03/03/2569</t>
        </is>
      </c>
      <c r="B5" s="5" t="inlineStr">
        <is>
          <t>อังคาร</t>
        </is>
      </c>
      <c r="C5" s="5" t="inlineStr">
        <is>
          <t>วันมาฆบูชา</t>
        </is>
      </c>
    </row>
    <row r="6">
      <c r="A6" s="6" t="inlineStr">
        <is>
          <t>06/04/2569</t>
        </is>
      </c>
      <c r="B6" s="6" t="inlineStr">
        <is>
          <t>จันทร์</t>
        </is>
      </c>
      <c r="C6" s="6" t="inlineStr">
        <is>
          <t>วันจักรี</t>
        </is>
      </c>
    </row>
    <row r="7">
      <c r="A7" s="5" t="inlineStr">
        <is>
          <t>13/04/2569</t>
        </is>
      </c>
      <c r="B7" s="5" t="inlineStr">
        <is>
          <t>จันทร์</t>
        </is>
      </c>
      <c r="C7" s="5" t="inlineStr">
        <is>
          <t>วันสงกรานต์</t>
        </is>
      </c>
    </row>
    <row r="8">
      <c r="A8" s="6" t="inlineStr">
        <is>
          <t>14/04/2569</t>
        </is>
      </c>
      <c r="B8" s="6" t="inlineStr">
        <is>
          <t>อังคาร</t>
        </is>
      </c>
      <c r="C8" s="6" t="inlineStr">
        <is>
          <t>วันสงกรานต์</t>
        </is>
      </c>
    </row>
    <row r="9">
      <c r="A9" s="5" t="inlineStr">
        <is>
          <t>15/04/2569</t>
        </is>
      </c>
      <c r="B9" s="5" t="inlineStr">
        <is>
          <t>พุธ</t>
        </is>
      </c>
      <c r="C9" s="5" t="inlineStr">
        <is>
          <t>วันสงกรานต์</t>
        </is>
      </c>
    </row>
    <row r="10">
      <c r="A10" s="6" t="inlineStr">
        <is>
          <t>01/05/2569</t>
        </is>
      </c>
      <c r="B10" s="6" t="inlineStr">
        <is>
          <t>ศุกร์</t>
        </is>
      </c>
      <c r="C10" s="6" t="inlineStr">
        <is>
          <t>วันแรงงานแห่งชาติ</t>
        </is>
      </c>
    </row>
    <row r="11">
      <c r="A11" s="5" t="inlineStr">
        <is>
          <t>04/05/2569</t>
        </is>
      </c>
      <c r="B11" s="5" t="inlineStr">
        <is>
          <t>จันทร์</t>
        </is>
      </c>
      <c r="C11" s="5" t="inlineStr">
        <is>
          <t>วันฉัตรมงคล</t>
        </is>
      </c>
    </row>
    <row r="12">
      <c r="A12" s="6" t="inlineStr">
        <is>
          <t>01/06/2569</t>
        </is>
      </c>
      <c r="B12" s="6" t="inlineStr">
        <is>
          <t>จันทร์</t>
        </is>
      </c>
      <c r="C12" s="6" t="inlineStr">
        <is>
          <t>วันวิสาขบูชา</t>
        </is>
      </c>
    </row>
    <row r="13">
      <c r="A13" s="5" t="inlineStr">
        <is>
          <t>03/06/2569</t>
        </is>
      </c>
      <c r="B13" s="5" t="inlineStr">
        <is>
          <t>พุธ</t>
        </is>
      </c>
      <c r="C13" s="5" t="inlineStr">
        <is>
          <t>วันเฉลิมพระชนมพรรษา พระราชินี</t>
        </is>
      </c>
    </row>
    <row r="14">
      <c r="A14" s="6" t="inlineStr">
        <is>
          <t>28/07/2569</t>
        </is>
      </c>
      <c r="B14" s="6" t="inlineStr">
        <is>
          <t>อังคาร</t>
        </is>
      </c>
      <c r="C14" s="6" t="inlineStr">
        <is>
          <t>วันเฉลิมพระชนมพรรษา ร.10</t>
        </is>
      </c>
    </row>
    <row r="15">
      <c r="A15" s="5" t="inlineStr">
        <is>
          <t>29/07/2569</t>
        </is>
      </c>
      <c r="B15" s="5" t="inlineStr">
        <is>
          <t>พุธ</t>
        </is>
      </c>
      <c r="C15" s="5" t="inlineStr">
        <is>
          <t>วันอาสาฬหบูชา</t>
        </is>
      </c>
    </row>
    <row r="16">
      <c r="A16" s="6" t="inlineStr">
        <is>
          <t>30/07/2569</t>
        </is>
      </c>
      <c r="B16" s="6" t="inlineStr">
        <is>
          <t>พฤหัสบดี</t>
        </is>
      </c>
      <c r="C16" s="6" t="inlineStr">
        <is>
          <t>วันเข้าพรรษา</t>
        </is>
      </c>
    </row>
    <row r="17">
      <c r="A17" s="5" t="inlineStr">
        <is>
          <t>12/08/2569</t>
        </is>
      </c>
      <c r="B17" s="5" t="inlineStr">
        <is>
          <t>พุธ</t>
        </is>
      </c>
      <c r="C17" s="5" t="inlineStr">
        <is>
          <t>วันแม่แห่งชาติ</t>
        </is>
      </c>
    </row>
    <row r="18">
      <c r="A18" s="6" t="inlineStr">
        <is>
          <t>13/10/2569</t>
        </is>
      </c>
      <c r="B18" s="6" t="inlineStr">
        <is>
          <t>อังคาร</t>
        </is>
      </c>
      <c r="C18" s="6" t="inlineStr">
        <is>
          <t>วันคล้ายวันสวรรคต ร.9</t>
        </is>
      </c>
    </row>
    <row r="19">
      <c r="A19" s="5" t="inlineStr">
        <is>
          <t>23/10/2569</t>
        </is>
      </c>
      <c r="B19" s="5" t="inlineStr">
        <is>
          <t>ศุกร์</t>
        </is>
      </c>
      <c r="C19" s="5" t="inlineStr">
        <is>
          <t>วันปิยมหาราช</t>
        </is>
      </c>
    </row>
    <row r="20">
      <c r="A20" s="6" t="inlineStr">
        <is>
          <t>05/12/2569</t>
        </is>
      </c>
      <c r="B20" s="6" t="inlineStr">
        <is>
          <t>เสาร์</t>
        </is>
      </c>
      <c r="C20" s="6" t="inlineStr">
        <is>
          <t>วันพ่อแห่งชาติ</t>
        </is>
      </c>
    </row>
    <row r="21">
      <c r="A21" s="5" t="inlineStr">
        <is>
          <t>10/12/2569</t>
        </is>
      </c>
      <c r="B21" s="5" t="inlineStr">
        <is>
          <t>พฤหัสบดี</t>
        </is>
      </c>
      <c r="C21" s="5" t="inlineStr">
        <is>
          <t>วันรัฐธรรมนูญ</t>
        </is>
      </c>
    </row>
    <row r="22">
      <c r="A22" s="6" t="inlineStr">
        <is>
          <t>31/12/2569</t>
        </is>
      </c>
      <c r="B22" s="6" t="inlineStr">
        <is>
          <t>พฤหัสบดี</t>
        </is>
      </c>
      <c r="C22" s="6" t="inlineStr">
        <is>
          <t>วันสิ้นปี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30" customWidth="1" min="4" max="4"/>
    <col width="14" customWidth="1" min="5" max="5"/>
    <col width="20" customWidth="1" min="6" max="6"/>
  </cols>
  <sheetData>
    <row r="1" ht="28" customHeight="1">
      <c r="A1" s="10" t="inlineStr">
        <is>
          <t>🔧 คำขอแก้ไข OT</t>
        </is>
      </c>
    </row>
    <row r="2" ht="24" customHeight="1">
      <c r="A2" s="11" t="inlineStr">
        <is>
          <t>ชื่อพนักงาน</t>
        </is>
      </c>
      <c r="B2" s="11" t="inlineStr">
        <is>
          <t>วันที่ OT</t>
        </is>
      </c>
      <c r="C2" s="11" t="inlineStr">
        <is>
          <t>รายการเดิม</t>
        </is>
      </c>
      <c r="D2" s="11" t="inlineStr">
        <is>
          <t>หมายเหตุจากพนักงาน</t>
        </is>
      </c>
      <c r="E2" s="11" t="inlineStr">
        <is>
          <t>สถานะ</t>
        </is>
      </c>
      <c r="F2" s="11" t="inlineStr">
        <is>
          <t>วันที่รับเรื่อง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6" customWidth="1" min="5" max="5"/>
    <col width="22" customWidth="1" min="6" max="6"/>
  </cols>
  <sheetData>
    <row r="1" ht="28" customHeight="1">
      <c r="A1" s="12" t="inlineStr">
        <is>
          <t>📊 สรุป OT รายเดือน</t>
        </is>
      </c>
    </row>
    <row r="2">
      <c r="A2" s="13" t="inlineStr">
        <is>
          <t>เดือน (MM):</t>
        </is>
      </c>
      <c r="B2" s="14" t="n">
        <v>5</v>
      </c>
      <c r="C2" s="13" t="inlineStr">
        <is>
          <t>ปี พ.ศ.:</t>
        </is>
      </c>
      <c r="D2" s="14" t="n">
        <v>2569</v>
      </c>
      <c r="E2" t="inlineStr">
        <is>
          <t>←</t>
        </is>
      </c>
      <c r="F2" s="7" t="inlineStr">
        <is>
          <t>แก้ไขเดือนและปีด้านบน เพื่ออัปเดตสรุปอัตโนมัติ</t>
        </is>
      </c>
    </row>
    <row r="3" ht="24" customHeight="1">
      <c r="A3" s="15" t="inlineStr">
        <is>
          <t>ชื่อพนักงาน</t>
        </is>
      </c>
      <c r="B3" s="15" t="inlineStr">
        <is>
          <t>OT วันธรรมดา (ชม.)</t>
        </is>
      </c>
      <c r="C3" s="15" t="inlineStr">
        <is>
          <t>OT วันหยุด (ครั้ง)</t>
        </is>
      </c>
      <c r="D3" s="15" t="inlineStr">
        <is>
          <t>ค่า OT รวม (฿)</t>
        </is>
      </c>
      <c r="E3" s="15" t="inlineStr">
        <is>
          <t>จำนวนรายการ</t>
        </is>
      </c>
      <c r="F3" s="15" t="inlineStr">
        <is>
          <t>หมายเหตุ</t>
        </is>
      </c>
    </row>
    <row r="4">
      <c r="A4" s="13" t="inlineStr">
        <is>
          <t>Air</t>
        </is>
      </c>
      <c r="B4">
        <f>SUMPRODUCT((OT_Records!$A$3:$A$20000=A4)*(MID(OT_Records!$B$3:$B$20000,4,2)=TEXT($B$2,"00"))*(RIGHT(OT_Records!$B$3:$B$20000,4)=TEXT($D$2,"0"))*(OT_Records!$H$3:$H$20000="วันธรรมดา")*IFERROR(VALUE(OT_Records!$E$3:$E$20000),0))</f>
        <v/>
      </c>
      <c r="C4">
        <f>SUMPRODUCT((OT_Records!$A$3:$A$20000=A4)*(MID(OT_Records!$B$3:$B$20000,4,2)=TEXT($B$2,"00"))*(RIGHT(OT_Records!$B$3:$B$20000,4)=TEXT($D$2,"0"))*(OT_Records!$H$3:$H$20000&lt;&gt;"วันธรรมดา")*(OT_Records!$H$3:$H$20000&lt;&gt;""))</f>
        <v/>
      </c>
      <c r="D4">
        <f>SUMPRODUCT((OT_Records!$A$3:$A$20000=A4)*(MID(OT_Records!$B$3:$B$20000,4,2)=TEXT($B$2,"00"))*(RIGHT(OT_Records!$B$3:$B$20000,4)=TEXT($D$2,"0"))*IFERROR(VALUE(OT_Records!$I$3:$I$20000),0))</f>
        <v/>
      </c>
      <c r="E4">
        <f>COUNTIFS(OT_Records!$A$3:$A$20000,A4,OT_Records!$B$3:$B$20000,"*/"&amp;TEXT($B$2,"00")&amp;"/"&amp;TEXT($D$2,"0"))</f>
        <v/>
      </c>
    </row>
    <row r="5">
      <c r="A5" s="13" t="inlineStr">
        <is>
          <t>Petch</t>
        </is>
      </c>
      <c r="B5">
        <f>SUMPRODUCT((OT_Records!$A$3:$A$20000=A5)*(MID(OT_Records!$B$3:$B$20000,4,2)=TEXT($B$2,"00"))*(RIGHT(OT_Records!$B$3:$B$20000,4)=TEXT($D$2,"0"))*(OT_Records!$H$3:$H$20000="วันธรรมดา")*IFERROR(VALUE(OT_Records!$E$3:$E$20000),0))</f>
        <v/>
      </c>
      <c r="C5">
        <f>SUMPRODUCT((OT_Records!$A$3:$A$20000=A5)*(MID(OT_Records!$B$3:$B$20000,4,2)=TEXT($B$2,"00"))*(RIGHT(OT_Records!$B$3:$B$20000,4)=TEXT($D$2,"0"))*(OT_Records!$H$3:$H$20000&lt;&gt;"วันธรรมดา")*(OT_Records!$H$3:$H$20000&lt;&gt;""))</f>
        <v/>
      </c>
      <c r="D5">
        <f>SUMPRODUCT((OT_Records!$A$3:$A$20000=A5)*(MID(OT_Records!$B$3:$B$20000,4,2)=TEXT($B$2,"00"))*(RIGHT(OT_Records!$B$3:$B$20000,4)=TEXT($D$2,"0"))*IFERROR(VALUE(OT_Records!$I$3:$I$20000),0))</f>
        <v/>
      </c>
      <c r="E5">
        <f>COUNTIFS(OT_Records!$A$3:$A$20000,A5,OT_Records!$B$3:$B$20000,"*/"&amp;TEXT($B$2,"00")&amp;"/"&amp;TEXT($D$2,"0"))</f>
        <v/>
      </c>
    </row>
    <row r="6">
      <c r="A6" s="13" t="inlineStr">
        <is>
          <t>Touch</t>
        </is>
      </c>
      <c r="B6">
        <f>SUMPRODUCT((OT_Records!$A$3:$A$20000=A6)*(MID(OT_Records!$B$3:$B$20000,4,2)=TEXT($B$2,"00"))*(RIGHT(OT_Records!$B$3:$B$20000,4)=TEXT($D$2,"0"))*(OT_Records!$H$3:$H$20000="วันธรรมดา")*IFERROR(VALUE(OT_Records!$E$3:$E$20000),0))</f>
        <v/>
      </c>
      <c r="C6">
        <f>SUMPRODUCT((OT_Records!$A$3:$A$20000=A6)*(MID(OT_Records!$B$3:$B$20000,4,2)=TEXT($B$2,"00"))*(RIGHT(OT_Records!$B$3:$B$20000,4)=TEXT($D$2,"0"))*(OT_Records!$H$3:$H$20000&lt;&gt;"วันธรรมดา")*(OT_Records!$H$3:$H$20000&lt;&gt;""))</f>
        <v/>
      </c>
      <c r="D6">
        <f>SUMPRODUCT((OT_Records!$A$3:$A$20000=A6)*(MID(OT_Records!$B$3:$B$20000,4,2)=TEXT($B$2,"00"))*(RIGHT(OT_Records!$B$3:$B$20000,4)=TEXT($D$2,"0"))*IFERROR(VALUE(OT_Records!$I$3:$I$20000),0))</f>
        <v/>
      </c>
      <c r="E6">
        <f>COUNTIFS(OT_Records!$A$3:$A$20000,A6,OT_Records!$B$3:$B$20000,"*/"&amp;TEXT($B$2,"00")&amp;"/"&amp;TEXT($D$2,"0"))</f>
        <v/>
      </c>
    </row>
    <row r="7">
      <c r="A7" s="13" t="inlineStr">
        <is>
          <t>Scene</t>
        </is>
      </c>
      <c r="B7">
        <f>SUMPRODUCT((OT_Records!$A$3:$A$20000=A7)*(MID(OT_Records!$B$3:$B$20000,4,2)=TEXT($B$2,"00"))*(RIGHT(OT_Records!$B$3:$B$20000,4)=TEXT($D$2,"0"))*(OT_Records!$H$3:$H$20000="วันธรรมดา")*IFERROR(VALUE(OT_Records!$E$3:$E$20000),0))</f>
        <v/>
      </c>
      <c r="C7">
        <f>SUMPRODUCT((OT_Records!$A$3:$A$20000=A7)*(MID(OT_Records!$B$3:$B$20000,4,2)=TEXT($B$2,"00"))*(RIGHT(OT_Records!$B$3:$B$20000,4)=TEXT($D$2,"0"))*(OT_Records!$H$3:$H$20000&lt;&gt;"วันธรรมดา")*(OT_Records!$H$3:$H$20000&lt;&gt;""))</f>
        <v/>
      </c>
      <c r="D7">
        <f>SUMPRODUCT((OT_Records!$A$3:$A$20000=A7)*(MID(OT_Records!$B$3:$B$20000,4,2)=TEXT($B$2,"00"))*(RIGHT(OT_Records!$B$3:$B$20000,4)=TEXT($D$2,"0"))*IFERROR(VALUE(OT_Records!$I$3:$I$20000),0))</f>
        <v/>
      </c>
      <c r="E7">
        <f>COUNTIFS(OT_Records!$A$3:$A$20000,A7,OT_Records!$B$3:$B$20000,"*/"&amp;TEXT($B$2,"00")&amp;"/"&amp;TEXT($D$2,"0"))</f>
        <v/>
      </c>
    </row>
    <row r="8">
      <c r="A8" s="13" t="inlineStr">
        <is>
          <t>Aon</t>
        </is>
      </c>
      <c r="B8">
        <f>SUMPRODUCT((OT_Records!$A$3:$A$20000=A8)*(MID(OT_Records!$B$3:$B$20000,4,2)=TEXT($B$2,"00"))*(RIGHT(OT_Records!$B$3:$B$20000,4)=TEXT($D$2,"0"))*(OT_Records!$H$3:$H$20000="วันธรรมดา")*IFERROR(VALUE(OT_Records!$E$3:$E$20000),0))</f>
        <v/>
      </c>
      <c r="C8">
        <f>SUMPRODUCT((OT_Records!$A$3:$A$20000=A8)*(MID(OT_Records!$B$3:$B$20000,4,2)=TEXT($B$2,"00"))*(RIGHT(OT_Records!$B$3:$B$20000,4)=TEXT($D$2,"0"))*(OT_Records!$H$3:$H$20000&lt;&gt;"วันธรรมดา")*(OT_Records!$H$3:$H$20000&lt;&gt;""))</f>
        <v/>
      </c>
      <c r="D8">
        <f>SUMPRODUCT((OT_Records!$A$3:$A$20000=A8)*(MID(OT_Records!$B$3:$B$20000,4,2)=TEXT($B$2,"00"))*(RIGHT(OT_Records!$B$3:$B$20000,4)=TEXT($D$2,"0"))*IFERROR(VALUE(OT_Records!$I$3:$I$20000),0))</f>
        <v/>
      </c>
      <c r="E8">
        <f>COUNTIFS(OT_Records!$A$3:$A$20000,A8,OT_Records!$B$3:$B$20000,"*/"&amp;TEXT($B$2,"00")&amp;"/"&amp;TEXT($D$2,"0"))</f>
        <v/>
      </c>
    </row>
    <row r="9">
      <c r="A9" s="13" t="inlineStr">
        <is>
          <t>Tin</t>
        </is>
      </c>
      <c r="B9">
        <f>SUMPRODUCT((OT_Records!$A$3:$A$20000=A9)*(MID(OT_Records!$B$3:$B$20000,4,2)=TEXT($B$2,"00"))*(RIGHT(OT_Records!$B$3:$B$20000,4)=TEXT($D$2,"0"))*(OT_Records!$H$3:$H$20000="วันธรรมดา")*IFERROR(VALUE(OT_Records!$E$3:$E$20000),0))</f>
        <v/>
      </c>
      <c r="C9">
        <f>SUMPRODUCT((OT_Records!$A$3:$A$20000=A9)*(MID(OT_Records!$B$3:$B$20000,4,2)=TEXT($B$2,"00"))*(RIGHT(OT_Records!$B$3:$B$20000,4)=TEXT($D$2,"0"))*(OT_Records!$H$3:$H$20000&lt;&gt;"วันธรรมดา")*(OT_Records!$H$3:$H$20000&lt;&gt;""))</f>
        <v/>
      </c>
      <c r="D9">
        <f>SUMPRODUCT((OT_Records!$A$3:$A$20000=A9)*(MID(OT_Records!$B$3:$B$20000,4,2)=TEXT($B$2,"00"))*(RIGHT(OT_Records!$B$3:$B$20000,4)=TEXT($D$2,"0"))*IFERROR(VALUE(OT_Records!$I$3:$I$20000),0))</f>
        <v/>
      </c>
      <c r="E9">
        <f>COUNTIFS(OT_Records!$A$3:$A$20000,A9,OT_Records!$B$3:$B$20000,"*/"&amp;TEXT($B$2,"00")&amp;"/"&amp;TEXT($D$2,"0"))</f>
        <v/>
      </c>
    </row>
    <row r="10">
      <c r="A10" s="13" t="inlineStr">
        <is>
          <t>Neng</t>
        </is>
      </c>
      <c r="B10">
        <f>SUMPRODUCT((OT_Records!$A$3:$A$20000=A10)*(MID(OT_Records!$B$3:$B$20000,4,2)=TEXT($B$2,"00"))*(RIGHT(OT_Records!$B$3:$B$20000,4)=TEXT($D$2,"0"))*(OT_Records!$H$3:$H$20000="วันธรรมดา")*IFERROR(VALUE(OT_Records!$E$3:$E$20000),0))</f>
        <v/>
      </c>
      <c r="C10">
        <f>SUMPRODUCT((OT_Records!$A$3:$A$20000=A10)*(MID(OT_Records!$B$3:$B$20000,4,2)=TEXT($B$2,"00"))*(RIGHT(OT_Records!$B$3:$B$20000,4)=TEXT($D$2,"0"))*(OT_Records!$H$3:$H$20000&lt;&gt;"วันธรรมดา")*(OT_Records!$H$3:$H$20000&lt;&gt;""))</f>
        <v/>
      </c>
      <c r="D10">
        <f>SUMPRODUCT((OT_Records!$A$3:$A$20000=A10)*(MID(OT_Records!$B$3:$B$20000,4,2)=TEXT($B$2,"00"))*(RIGHT(OT_Records!$B$3:$B$20000,4)=TEXT($D$2,"0"))*IFERROR(VALUE(OT_Records!$I$3:$I$20000),0))</f>
        <v/>
      </c>
      <c r="E10">
        <f>COUNTIFS(OT_Records!$A$3:$A$20000,A10,OT_Records!$B$3:$B$20000,"*/"&amp;TEXT($B$2,"00")&amp;"/"&amp;TEXT($D$2,"0"))</f>
        <v/>
      </c>
    </row>
    <row r="11">
      <c r="A11" s="16" t="inlineStr">
        <is>
          <t>รวมทั้งหมด</t>
        </is>
      </c>
      <c r="B11" s="17">
        <f>SUM(B4:B10)</f>
        <v/>
      </c>
      <c r="C11" s="17">
        <f>SUM(C4:C10)</f>
        <v/>
      </c>
      <c r="D11" s="17">
        <f>SUM(D4:D10)</f>
        <v/>
      </c>
      <c r="E11" s="17">
        <f>SUM(E4:E10)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20" customWidth="1" min="9" max="9"/>
    <col width="14" customWidth="1" min="10" max="10"/>
  </cols>
  <sheetData>
    <row r="1" ht="28" customHeight="1">
      <c r="A1" s="18" t="inlineStr">
        <is>
          <t>💰 ประวัติการจ่ายเงิน OT</t>
        </is>
      </c>
    </row>
    <row r="2" ht="24" customHeight="1">
      <c r="A2" s="19" t="inlineStr">
        <is>
          <t>ID</t>
        </is>
      </c>
      <c r="B2" s="19" t="inlineStr">
        <is>
          <t>วันตัดรอบ</t>
        </is>
      </c>
      <c r="C2" s="19" t="inlineStr">
        <is>
          <t>จ่ายเมื่อ</t>
        </is>
      </c>
      <c r="D2" s="19" t="inlineStr">
        <is>
          <t>จำนวนรายการ</t>
        </is>
      </c>
      <c r="E2" s="19" t="inlineStr">
        <is>
          <t>จำนวนคน</t>
        </is>
      </c>
      <c r="F2" s="19" t="inlineStr">
        <is>
          <t>ยอดรวม (฿)</t>
        </is>
      </c>
      <c r="G2" s="19" t="inlineStr">
        <is>
          <t>ทำโดย</t>
        </is>
      </c>
      <c r="H2" s="19" t="inlineStr">
        <is>
          <t>สถานะ</t>
        </is>
      </c>
      <c r="I2" s="19" t="inlineStr">
        <is>
          <t>ยกเลิกเมื่อ</t>
        </is>
      </c>
      <c r="J2" s="19" t="inlineStr">
        <is>
          <t>ยกเลิกโดย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2026-05-01T16:18:00Z</dcterms:created>
  <dcterms:modified xmlns:dcterms="http://purl.org/dc/terms/" xmlns:xsi="http://www.w3.org/2001/XMLSchema-instance" xsi:type="dcterms:W3CDTF">2026-05-01T16:18:00Z</dcterms:modified>
</cp:coreProperties>
</file>